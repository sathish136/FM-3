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300KLD - STP\"/>
    </mc:Choice>
  </mc:AlternateContent>
  <xr:revisionPtr revIDLastSave="0" documentId="13_ncr:1_{8AE021DB-1A68-4E71-8BC0-B32BD248FF5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UMMARY SHEET" sheetId="9" r:id="rId1"/>
    <sheet name="PHASE-1" sheetId="6" r:id="rId2"/>
    <sheet name="PHASE-2(ADD-ON)" sheetId="7" r:id="rId3"/>
    <sheet name="PHASE-3(ADD-ON)" sheetId="8" r:id="rId4"/>
  </sheets>
  <definedNames>
    <definedName name="_xlnm.Print_Area" localSheetId="1">'PHASE-1'!$B$2:$I$26</definedName>
    <definedName name="_xlnm.Print_Area" localSheetId="2">'PHASE-2(ADD-ON)'!$B$2:$I$32</definedName>
    <definedName name="_xlnm.Print_Area" localSheetId="3">'PHASE-3(ADD-ON)'!$B$2:$I$31</definedName>
    <definedName name="_xlnm.Print_Area" localSheetId="0">'SUMMARY SHEET'!$B$2:$H$17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F8" i="8"/>
  <c r="F8" i="6" l="1"/>
  <c r="F3" i="6" l="1"/>
  <c r="F8" i="7" l="1"/>
  <c r="E3" i="6"/>
  <c r="E3" i="7" s="1"/>
  <c r="C3" i="6"/>
  <c r="C3" i="8" s="1"/>
  <c r="C3" i="7" l="1"/>
  <c r="E3" i="8"/>
  <c r="E19" i="8"/>
  <c r="E16" i="8"/>
  <c r="E15" i="8"/>
  <c r="E14" i="8"/>
  <c r="E13" i="8"/>
  <c r="E15" i="7"/>
  <c r="E13" i="7"/>
  <c r="E12" i="7"/>
  <c r="E12" i="6"/>
  <c r="F12" i="6" s="1"/>
  <c r="F3" i="7"/>
  <c r="F3" i="8" s="1"/>
  <c r="F12" i="7" l="1"/>
  <c r="G8" i="7" s="1"/>
  <c r="F17" i="9"/>
  <c r="F16" i="9"/>
  <c r="E17" i="9"/>
  <c r="E16" i="9"/>
  <c r="D17" i="9"/>
  <c r="D16" i="9"/>
  <c r="B8" i="9"/>
  <c r="B9" i="9" s="1"/>
  <c r="B10" i="9" s="1"/>
  <c r="B11" i="9" s="1"/>
  <c r="B17" i="9" s="1"/>
  <c r="F8" i="9"/>
  <c r="G8" i="9" s="1"/>
  <c r="G17" i="9" l="1"/>
  <c r="G16" i="9"/>
  <c r="F7" i="9"/>
  <c r="E7" i="9"/>
  <c r="D7" i="9"/>
  <c r="E63" i="7"/>
  <c r="E11" i="9" s="1"/>
  <c r="E58" i="8"/>
  <c r="F11" i="9" s="1"/>
  <c r="E17" i="8"/>
  <c r="F13" i="8" s="1"/>
  <c r="G9" i="8" s="1"/>
  <c r="E25" i="7"/>
  <c r="E24" i="7"/>
  <c r="E14" i="6"/>
  <c r="G8" i="6" s="1"/>
  <c r="D9" i="9"/>
  <c r="D52" i="6" l="1"/>
  <c r="D11" i="9" s="1"/>
  <c r="D12" i="9" s="1"/>
  <c r="D13" i="9" s="1"/>
  <c r="G7" i="9"/>
  <c r="F24" i="7"/>
  <c r="E61" i="7"/>
  <c r="E9" i="9" s="1"/>
  <c r="E65" i="7" l="1"/>
  <c r="E10" i="9" s="1"/>
  <c r="G10" i="9" s="1"/>
  <c r="G11" i="9"/>
  <c r="E56" i="8"/>
  <c r="F9" i="9" l="1"/>
  <c r="G9" i="9" s="1"/>
  <c r="G12" i="9" s="1"/>
  <c r="E12" i="9"/>
  <c r="F12" i="9" l="1"/>
  <c r="F13" i="9" s="1"/>
  <c r="E13" i="9"/>
</calcChain>
</file>

<file path=xl/sharedStrings.xml><?xml version="1.0" encoding="utf-8"?>
<sst xmlns="http://schemas.openxmlformats.org/spreadsheetml/2006/main" count="139" uniqueCount="65">
  <si>
    <t>PLANT FEED FLOW</t>
  </si>
  <si>
    <t>FLOW</t>
  </si>
  <si>
    <t>Kg/Day</t>
  </si>
  <si>
    <t>kW</t>
  </si>
  <si>
    <t>INSTALLED LOAD</t>
  </si>
  <si>
    <t>ABSORBED LOAD</t>
  </si>
  <si>
    <r>
      <t xml:space="preserve"> Operating cost doesn’t include the following</t>
    </r>
    <r>
      <rPr>
        <b/>
        <sz val="12"/>
        <color theme="1"/>
        <rFont val="Roboto"/>
      </rPr>
      <t xml:space="preserve">: </t>
    </r>
  </si>
  <si>
    <t>MEMBRANE REPLACEMENT COST</t>
  </si>
  <si>
    <t>ELECTRIC LOAD COST</t>
  </si>
  <si>
    <t xml:space="preserve">LOAD </t>
  </si>
  <si>
    <t>M³/DAY</t>
  </si>
  <si>
    <r>
      <rPr>
        <b/>
        <i/>
        <sz val="18"/>
        <color rgb="FFFF0000"/>
        <rFont val="Roboto"/>
      </rPr>
      <t>KINDLY PROVIDE THE  VALUE IN</t>
    </r>
    <r>
      <rPr>
        <sz val="18"/>
        <color theme="9" tint="-0.249977111117893"/>
        <rFont val="Roboto"/>
      </rPr>
      <t xml:space="preserve"> </t>
    </r>
    <r>
      <rPr>
        <b/>
        <sz val="19"/>
        <color theme="9" tint="-0.249977111117893"/>
        <rFont val="Roboto"/>
      </rPr>
      <t>GREEN CELL</t>
    </r>
  </si>
  <si>
    <t>VARIABLE COST</t>
  </si>
  <si>
    <t>MBR FEED DOSING BASED ON SITE OPERATIONAL CHARACTERISTICS</t>
  </si>
  <si>
    <t>CHEMICAL CONSUMPTION</t>
  </si>
  <si>
    <t>POLY ALUMINIUM CHLORIDE (PAC) - 30%</t>
  </si>
  <si>
    <t>PRICE IN USD</t>
  </si>
  <si>
    <t>USD CONVERSION FACTOR (INR PER USD)</t>
  </si>
  <si>
    <t>INR FOR 1 USD</t>
  </si>
  <si>
    <t>PRICE (USD) / KG</t>
  </si>
  <si>
    <t>USD / Day</t>
  </si>
  <si>
    <t>USD / kW</t>
  </si>
  <si>
    <t>SODIUM HYPOCHLORITE -12.5%</t>
  </si>
  <si>
    <r>
      <t>Energy Cost (kW /M</t>
    </r>
    <r>
      <rPr>
        <b/>
        <i/>
        <vertAlign val="superscript"/>
        <sz val="12"/>
        <color theme="1"/>
        <rFont val="Roboto"/>
      </rPr>
      <t>3</t>
    </r>
    <r>
      <rPr>
        <b/>
        <i/>
        <sz val="12"/>
        <color theme="1"/>
        <rFont val="Roboto"/>
      </rPr>
      <t>)</t>
    </r>
  </si>
  <si>
    <r>
      <t>kW /M</t>
    </r>
    <r>
      <rPr>
        <i/>
        <vertAlign val="superscript"/>
        <sz val="11"/>
        <color theme="1"/>
        <rFont val="Roboto"/>
      </rPr>
      <t>3</t>
    </r>
  </si>
  <si>
    <t>SODIUM HYPOCHLORITE - 12.5%</t>
  </si>
  <si>
    <r>
      <t xml:space="preserve">  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SEWAGE TREATMENT PLANT FEED</t>
    </r>
  </si>
  <si>
    <t>Chemical cost doesn't include                                                     
 Influent transfer until Proposed System, Permeate &amp; Reject transfer, Evaporator system, Major Repair &amp; Maintenance, Compressed air &amp; Raw water for complete plant, Transport, Taxes &amp; Duties for Chemical &amp; Replacement cost, Cost for Loaders, Cleaners, Vehicles &amp; its consumables, Manpower Cost.</t>
  </si>
  <si>
    <t>SEWAGE TREATMENT PLANT</t>
  </si>
  <si>
    <r>
      <t>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</t>
    </r>
  </si>
  <si>
    <r>
      <t>USD /M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 OF STP FEED</t>
    </r>
  </si>
  <si>
    <t>CITRIC ACID (100% BASIS)</t>
  </si>
  <si>
    <t>WHICH INCLUDES DIFFUSER MEMBRANES</t>
  </si>
  <si>
    <t>RUNNING COST SUMMARY (DURING PHASE-1)</t>
  </si>
  <si>
    <t>RUNNING COST SUMMARY (ADDITIONAL DURING PHASE-2)</t>
  </si>
  <si>
    <t>RUNNING COST SUMMARY (ADDITIONAL DURING PHASE-3)</t>
  </si>
  <si>
    <t>CATIONIC POLYMER (100% BASIS)</t>
  </si>
  <si>
    <t>WHICH INCLUDES CERAMIC MBR MODULES</t>
  </si>
  <si>
    <t>WHICH INCLUDES RO MEMBRANES</t>
  </si>
  <si>
    <t>SULPHURIC ACID-98%</t>
  </si>
  <si>
    <t>BIOCIDE (100% BASIS)</t>
  </si>
  <si>
    <t>WTTCHEM-C101</t>
  </si>
  <si>
    <t>CAUSTIC LYE-47%</t>
  </si>
  <si>
    <t>CONSUMBLES COST</t>
  </si>
  <si>
    <t>CONSUMBLE COST</t>
  </si>
  <si>
    <t>CHEMICAL COST</t>
  </si>
  <si>
    <t>ENERGY COST</t>
  </si>
  <si>
    <t>PHASE - 1</t>
  </si>
  <si>
    <t>PHASE - 2</t>
  </si>
  <si>
    <t>PHASE - 3</t>
  </si>
  <si>
    <t>TOTAL</t>
  </si>
  <si>
    <t>S.NO.</t>
  </si>
  <si>
    <t>chemical</t>
  </si>
  <si>
    <t>energy</t>
  </si>
  <si>
    <t>variable</t>
  </si>
  <si>
    <t>DESCRIPTION</t>
  </si>
  <si>
    <t>ELECTRICAL LOAD DETAILS</t>
  </si>
  <si>
    <r>
      <t>TOTAL COST (USD/M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FEED)</t>
    </r>
  </si>
  <si>
    <t>INSTALLED LOAD (kW)</t>
  </si>
  <si>
    <t>CONNECTED LOAD (kW)</t>
  </si>
  <si>
    <t>PHASE WISE TOTAL COST (USD/M3 OF STP FEED)</t>
  </si>
  <si>
    <t>RUNNING COST SUMMARY SHEET</t>
  </si>
  <si>
    <t>WTT-BAN-0001</t>
  </si>
  <si>
    <t xml:space="preserve">Notes: 
1. Chemical cost doesn’t include Acid consumption for Neutralization as the pH will vary at STP inlet from time to time.
</t>
  </si>
  <si>
    <t>WHICH INCLUDES RO PREFILTER &amp; CIP PREFILTER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</si>
</sst>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00"/>
    <numFmt numFmtId="166" formatCode="0.0000"/>
    <numFmt numFmtId="167" formatCode="0.000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6"/>
      <color theme="1"/>
      <name val="Roboto"/>
    </font>
    <font>
      <b/>
      <sz val="20"/>
      <color rgb="FF7030A0"/>
      <name val="Roboto"/>
    </font>
    <font>
      <sz val="18"/>
      <color theme="1"/>
      <name val="Roboto"/>
    </font>
    <font>
      <b/>
      <i/>
      <sz val="18"/>
      <color rgb="FFFF0000"/>
      <name val="Roboto"/>
    </font>
    <font>
      <sz val="18"/>
      <color theme="9" tint="-0.249977111117893"/>
      <name val="Roboto"/>
    </font>
    <font>
      <b/>
      <sz val="19"/>
      <color theme="9" tint="-0.249977111117893"/>
      <name val="Roboto"/>
    </font>
    <font>
      <i/>
      <sz val="11"/>
      <color theme="1"/>
      <name val="Roboto"/>
    </font>
    <font>
      <b/>
      <sz val="18"/>
      <color rgb="FFFF0000"/>
      <name val="Roboto"/>
    </font>
    <font>
      <b/>
      <i/>
      <sz val="12"/>
      <color theme="1"/>
      <name val="Roboto"/>
    </font>
    <font>
      <b/>
      <i/>
      <sz val="12"/>
      <name val="Roboto"/>
    </font>
    <font>
      <b/>
      <i/>
      <sz val="16"/>
      <color rgb="FF7030A0"/>
      <name val="Roboto"/>
    </font>
    <font>
      <b/>
      <sz val="14"/>
      <color rgb="FFFF0000"/>
      <name val="Roboto"/>
    </font>
    <font>
      <b/>
      <i/>
      <sz val="12"/>
      <color rgb="FF7030A0"/>
      <name val="Roboto"/>
    </font>
    <font>
      <b/>
      <sz val="18"/>
      <color theme="1"/>
      <name val="Roboto"/>
    </font>
    <font>
      <sz val="10.5"/>
      <name val="Roboto"/>
    </font>
    <font>
      <b/>
      <sz val="11"/>
      <color rgb="FF002060"/>
      <name val="Roboto"/>
    </font>
    <font>
      <b/>
      <vertAlign val="superscript"/>
      <sz val="12"/>
      <color theme="1"/>
      <name val="Roboto"/>
    </font>
    <font>
      <b/>
      <i/>
      <vertAlign val="superscript"/>
      <sz val="12"/>
      <color theme="1"/>
      <name val="Roboto"/>
    </font>
    <font>
      <b/>
      <vertAlign val="superscript"/>
      <sz val="11"/>
      <color theme="1"/>
      <name val="Roboto"/>
    </font>
    <font>
      <i/>
      <vertAlign val="superscript"/>
      <sz val="11"/>
      <color theme="1"/>
      <name val="Roboto"/>
    </font>
    <font>
      <b/>
      <sz val="13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2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4" borderId="7" xfId="0" applyNumberFormat="1" applyFont="1" applyFill="1" applyBorder="1" applyAlignment="1" applyProtection="1">
      <alignment horizontal="center" vertical="center"/>
      <protection locked="0"/>
    </xf>
    <xf numFmtId="165" fontId="2" fillId="4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>
      <alignment vertical="center"/>
    </xf>
    <xf numFmtId="0" fontId="12" fillId="5" borderId="15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4" fillId="0" borderId="7" xfId="0" applyNumberFormat="1" applyFont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2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166" fontId="2" fillId="4" borderId="37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67" fontId="3" fillId="0" borderId="0" xfId="0" applyNumberFormat="1" applyFont="1"/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165" fontId="24" fillId="0" borderId="7" xfId="0" applyNumberFormat="1" applyFont="1" applyBorder="1" applyAlignment="1">
      <alignment horizontal="center" vertical="center"/>
    </xf>
    <xf numFmtId="2" fontId="24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2" fontId="24" fillId="0" borderId="35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41" xfId="0" applyNumberFormat="1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left" vertical="center"/>
    </xf>
    <xf numFmtId="1" fontId="24" fillId="0" borderId="37" xfId="0" applyNumberFormat="1" applyFont="1" applyBorder="1" applyAlignment="1">
      <alignment horizontal="center" vertical="center"/>
    </xf>
    <xf numFmtId="168" fontId="24" fillId="0" borderId="38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165" fontId="24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3" fillId="0" borderId="14" xfId="0" applyFont="1" applyBorder="1"/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4" fontId="2" fillId="6" borderId="28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4" fillId="6" borderId="31" xfId="0" applyNumberFormat="1" applyFont="1" applyFill="1" applyBorder="1" applyAlignment="1">
      <alignment horizontal="center" vertical="center"/>
    </xf>
    <xf numFmtId="165" fontId="2" fillId="6" borderId="44" xfId="0" applyNumberFormat="1" applyFont="1" applyFill="1" applyBorder="1" applyAlignment="1">
      <alignment horizontal="center" vertical="center"/>
    </xf>
    <xf numFmtId="165" fontId="2" fillId="6" borderId="45" xfId="0" applyNumberFormat="1" applyFont="1" applyFill="1" applyBorder="1" applyAlignment="1">
      <alignment horizontal="center" vertical="center"/>
    </xf>
    <xf numFmtId="165" fontId="2" fillId="6" borderId="47" xfId="0" applyNumberFormat="1" applyFont="1" applyFill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2" fontId="5" fillId="3" borderId="24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3" borderId="26" xfId="0" applyNumberFormat="1" applyFont="1" applyFill="1" applyBorder="1" applyAlignment="1">
      <alignment horizontal="center" vertical="center"/>
    </xf>
    <xf numFmtId="2" fontId="5" fillId="3" borderId="27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2" fillId="4" borderId="27" xfId="0" applyNumberFormat="1" applyFont="1" applyFill="1" applyBorder="1" applyAlignment="1" applyProtection="1">
      <alignment horizontal="center" vertical="center"/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14" fillId="0" borderId="39" xfId="0" applyNumberFormat="1" applyFont="1" applyBorder="1" applyAlignment="1" applyProtection="1">
      <alignment horizontal="center" vertical="center"/>
      <protection locked="0"/>
    </xf>
    <xf numFmtId="2" fontId="14" fillId="0" borderId="6" xfId="0" applyNumberFormat="1" applyFont="1" applyBorder="1" applyAlignment="1" applyProtection="1">
      <alignment horizontal="center" vertical="center"/>
      <protection locked="0"/>
    </xf>
    <xf numFmtId="2" fontId="14" fillId="0" borderId="9" xfId="0" applyNumberFormat="1" applyFont="1" applyBorder="1" applyAlignment="1" applyProtection="1">
      <alignment horizontal="center" vertical="center"/>
      <protection locked="0"/>
    </xf>
    <xf numFmtId="2" fontId="14" fillId="0" borderId="12" xfId="0" applyNumberFormat="1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4" fillId="0" borderId="35" xfId="0" applyNumberFormat="1" applyFont="1" applyBorder="1" applyAlignment="1" applyProtection="1">
      <alignment horizontal="center" vertical="center"/>
      <protection locked="0"/>
    </xf>
    <xf numFmtId="167" fontId="14" fillId="0" borderId="38" xfId="0" applyNumberFormat="1" applyFont="1" applyBorder="1" applyAlignment="1" applyProtection="1">
      <alignment horizontal="center" vertical="center"/>
      <protection locked="0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view="pageBreakPreview" zoomScaleNormal="100" zoomScaleSheetLayoutView="100" workbookViewId="0">
      <selection activeCell="D4" sqref="D4"/>
    </sheetView>
  </sheetViews>
  <sheetFormatPr defaultRowHeight="15" x14ac:dyDescent="0.25"/>
  <cols>
    <col min="1" max="1" width="1.5703125" customWidth="1"/>
    <col min="3" max="3" width="47.140625" customWidth="1"/>
    <col min="4" max="5" width="13.7109375" customWidth="1"/>
    <col min="6" max="6" width="18.28515625" customWidth="1"/>
    <col min="7" max="7" width="14.7109375" customWidth="1"/>
    <col min="8" max="8" width="5.28515625" customWidth="1"/>
  </cols>
  <sheetData>
    <row r="1" spans="1:17" ht="9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thickBot="1" x14ac:dyDescent="0.3">
      <c r="B2" s="90" t="s">
        <v>61</v>
      </c>
      <c r="C2" s="91"/>
      <c r="D2" s="91"/>
      <c r="E2" s="91"/>
      <c r="F2" s="91"/>
      <c r="G2" s="91"/>
      <c r="H2" s="92"/>
      <c r="I2" s="26"/>
      <c r="J2" s="26"/>
      <c r="K2" s="2"/>
      <c r="L2" s="2"/>
      <c r="M2" s="2"/>
      <c r="N2" s="2"/>
      <c r="O2" s="2"/>
      <c r="P2" s="2"/>
      <c r="Q2" s="2"/>
    </row>
    <row r="3" spans="1:17" ht="12.75" customHeight="1" thickBot="1" x14ac:dyDescent="0.3">
      <c r="B3" s="53"/>
      <c r="C3" s="45"/>
      <c r="D3" s="45"/>
      <c r="E3" s="45"/>
      <c r="F3" s="45"/>
      <c r="G3" s="5"/>
      <c r="H3" s="4"/>
      <c r="I3" s="26"/>
      <c r="J3" s="26"/>
      <c r="K3" s="2"/>
      <c r="L3" s="2"/>
      <c r="M3" s="2"/>
      <c r="N3" s="2"/>
      <c r="O3" s="2"/>
      <c r="P3" s="2"/>
      <c r="Q3" s="2"/>
    </row>
    <row r="4" spans="1:17" ht="24.75" customHeight="1" thickBot="1" x14ac:dyDescent="0.3">
      <c r="A4" s="45"/>
      <c r="B4" s="86" t="s">
        <v>0</v>
      </c>
      <c r="C4" s="87"/>
      <c r="D4" s="74">
        <v>300</v>
      </c>
      <c r="E4" s="75" t="s">
        <v>10</v>
      </c>
      <c r="F4" s="76" t="s">
        <v>62</v>
      </c>
      <c r="G4" s="77">
        <v>46023</v>
      </c>
      <c r="H4" s="4"/>
      <c r="I4" s="45"/>
      <c r="J4" s="45"/>
      <c r="K4" s="2"/>
      <c r="L4" s="2"/>
      <c r="M4" s="2"/>
      <c r="N4" s="2"/>
      <c r="O4" s="2"/>
      <c r="P4" s="2"/>
      <c r="Q4" s="2"/>
    </row>
    <row r="5" spans="1:17" ht="24.75" customHeight="1" thickBot="1" x14ac:dyDescent="0.3">
      <c r="A5" s="45"/>
      <c r="B5" s="53"/>
      <c r="C5" s="45"/>
      <c r="D5" s="45"/>
      <c r="E5" s="45"/>
      <c r="F5" s="45"/>
      <c r="G5" s="5"/>
      <c r="H5" s="5"/>
      <c r="I5" s="45"/>
      <c r="J5" s="45"/>
      <c r="K5" s="2"/>
      <c r="L5" s="2"/>
      <c r="M5" s="2"/>
      <c r="N5" s="2"/>
      <c r="O5" s="2"/>
      <c r="P5" s="2"/>
      <c r="Q5" s="2"/>
    </row>
    <row r="6" spans="1:17" ht="30" customHeight="1" thickBot="1" x14ac:dyDescent="0.3">
      <c r="A6" s="2"/>
      <c r="B6" s="71" t="s">
        <v>51</v>
      </c>
      <c r="C6" s="72" t="s">
        <v>55</v>
      </c>
      <c r="D6" s="72" t="s">
        <v>47</v>
      </c>
      <c r="E6" s="72" t="s">
        <v>48</v>
      </c>
      <c r="F6" s="72" t="s">
        <v>49</v>
      </c>
      <c r="G6" s="73" t="s">
        <v>50</v>
      </c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/>
      <c r="B7" s="57">
        <v>1</v>
      </c>
      <c r="C7" s="58" t="s">
        <v>7</v>
      </c>
      <c r="D7" s="59">
        <f>'PHASE-1'!F8</f>
        <v>2.8125000000000003E-3</v>
      </c>
      <c r="E7" s="59">
        <f>'PHASE-2(ADD-ON)'!F8</f>
        <v>2.34375E-2</v>
      </c>
      <c r="F7" s="59">
        <f>'PHASE-3(ADD-ON)'!F8</f>
        <v>2.9166666666666664E-2</v>
      </c>
      <c r="G7" s="60">
        <f>SUM(D7:F7)</f>
        <v>5.5416666666666663E-2</v>
      </c>
      <c r="H7" s="4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/>
      <c r="B8" s="54">
        <f>B7+1</f>
        <v>2</v>
      </c>
      <c r="C8" s="50" t="s">
        <v>44</v>
      </c>
      <c r="D8" s="52">
        <v>0</v>
      </c>
      <c r="E8" s="52">
        <v>0</v>
      </c>
      <c r="F8" s="51">
        <f>'PHASE-3(ADD-ON)'!F9</f>
        <v>0.01</v>
      </c>
      <c r="G8" s="55">
        <f t="shared" ref="G8:G11" si="0">SUM(D8:F8)</f>
        <v>0.01</v>
      </c>
      <c r="H8" s="4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/>
      <c r="B9" s="54">
        <f t="shared" ref="B9:B11" si="1">B8+1</f>
        <v>3</v>
      </c>
      <c r="C9" s="50" t="s">
        <v>45</v>
      </c>
      <c r="D9" s="49">
        <f>'PHASE-1'!F12</f>
        <v>0</v>
      </c>
      <c r="E9" s="49">
        <f>'PHASE-2(ADD-ON)'!E61</f>
        <v>0</v>
      </c>
      <c r="F9" s="49">
        <f>'PHASE-3(ADD-ON)'!E56</f>
        <v>0</v>
      </c>
      <c r="G9" s="55">
        <f t="shared" si="0"/>
        <v>0</v>
      </c>
      <c r="H9" s="4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/>
      <c r="B10" s="54">
        <f t="shared" si="1"/>
        <v>4</v>
      </c>
      <c r="C10" s="50" t="s">
        <v>12</v>
      </c>
      <c r="D10" s="49">
        <v>0</v>
      </c>
      <c r="E10" s="49">
        <f>'PHASE-2(ADD-ON)'!E65</f>
        <v>0</v>
      </c>
      <c r="F10" s="49">
        <v>0</v>
      </c>
      <c r="G10" s="55">
        <f t="shared" si="0"/>
        <v>0</v>
      </c>
      <c r="H10" s="4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thickBot="1" x14ac:dyDescent="0.3">
      <c r="A11" s="2"/>
      <c r="B11" s="61">
        <f t="shared" si="1"/>
        <v>5</v>
      </c>
      <c r="C11" s="62" t="s">
        <v>46</v>
      </c>
      <c r="D11" s="67">
        <f>'PHASE-1'!D52</f>
        <v>0</v>
      </c>
      <c r="E11" s="67">
        <f>'PHASE-2(ADD-ON)'!E63</f>
        <v>0</v>
      </c>
      <c r="F11" s="67">
        <f>'PHASE-3(ADD-ON)'!E58</f>
        <v>0</v>
      </c>
      <c r="G11" s="68">
        <f t="shared" si="0"/>
        <v>0</v>
      </c>
      <c r="H11" s="4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thickBot="1" x14ac:dyDescent="0.3">
      <c r="A12" s="2"/>
      <c r="B12" s="84" t="s">
        <v>57</v>
      </c>
      <c r="C12" s="85"/>
      <c r="D12" s="80">
        <f>SUM(D7:D11)</f>
        <v>2.8125000000000003E-3</v>
      </c>
      <c r="E12" s="78">
        <f>SUM(E7:E11)</f>
        <v>2.34375E-2</v>
      </c>
      <c r="F12" s="78">
        <f>SUM(F7:F11)</f>
        <v>3.9166666666666662E-2</v>
      </c>
      <c r="G12" s="79">
        <f>SUM(G7:G11)</f>
        <v>6.5416666666666665E-2</v>
      </c>
      <c r="H12" s="4"/>
      <c r="I12" s="2"/>
      <c r="J12" s="47"/>
      <c r="K12" s="2"/>
      <c r="L12" s="2"/>
      <c r="M12" s="2"/>
      <c r="N12" s="2"/>
      <c r="O12" s="2"/>
      <c r="P12" s="2"/>
      <c r="Q12" s="2"/>
    </row>
    <row r="13" spans="1:17" ht="30" customHeight="1" thickBot="1" x14ac:dyDescent="0.3">
      <c r="A13" s="2"/>
      <c r="B13" s="88" t="s">
        <v>60</v>
      </c>
      <c r="C13" s="89"/>
      <c r="D13" s="81">
        <f>D12</f>
        <v>2.8125000000000003E-3</v>
      </c>
      <c r="E13" s="81">
        <f>D12+E12</f>
        <v>2.6249999999999999E-2</v>
      </c>
      <c r="F13" s="82">
        <f>D12+E12+F12</f>
        <v>6.5416666666666665E-2</v>
      </c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thickBot="1" x14ac:dyDescent="0.3">
      <c r="A14" s="2"/>
      <c r="B14" s="69"/>
      <c r="H14" s="4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thickBot="1" x14ac:dyDescent="0.3">
      <c r="A15" s="2"/>
      <c r="B15" s="71" t="s">
        <v>51</v>
      </c>
      <c r="C15" s="72" t="s">
        <v>56</v>
      </c>
      <c r="D15" s="72" t="s">
        <v>47</v>
      </c>
      <c r="E15" s="72" t="s">
        <v>48</v>
      </c>
      <c r="F15" s="72" t="s">
        <v>49</v>
      </c>
      <c r="G15" s="73" t="s">
        <v>50</v>
      </c>
      <c r="H15" s="4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/>
      <c r="B16" s="54">
        <v>1</v>
      </c>
      <c r="C16" s="50" t="s">
        <v>58</v>
      </c>
      <c r="D16" s="49">
        <f>'PHASE-1'!C18</f>
        <v>47</v>
      </c>
      <c r="E16" s="49">
        <f>'PHASE-2(ADD-ON)'!C19</f>
        <v>10</v>
      </c>
      <c r="F16" s="49">
        <f>'PHASE-3(ADD-ON)'!C23</f>
        <v>29</v>
      </c>
      <c r="G16" s="56">
        <f>SUM(D16:F16)</f>
        <v>86</v>
      </c>
      <c r="H16" s="4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thickBot="1" x14ac:dyDescent="0.3">
      <c r="A17" s="2"/>
      <c r="B17" s="63">
        <f>B16+1</f>
        <v>2</v>
      </c>
      <c r="C17" s="64" t="s">
        <v>59</v>
      </c>
      <c r="D17" s="65">
        <f>'PHASE-1'!C19</f>
        <v>21.11</v>
      </c>
      <c r="E17" s="65">
        <f>'PHASE-2(ADD-ON)'!C20</f>
        <v>6</v>
      </c>
      <c r="F17" s="65">
        <f>'PHASE-3(ADD-ON)'!C24</f>
        <v>22</v>
      </c>
      <c r="G17" s="66">
        <f>SUM(D17:F17)</f>
        <v>49.11</v>
      </c>
      <c r="H17" s="70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4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sheetProtection algorithmName="SHA-512" hashValue="ErKgvWUc03Weh6EvVsSvnyD4fDjs4ggvPzAKNOQBZ6QaWIZ0YbRzHBaqH1RaqkZKg/gtUpwiQbJnew5DWLNLrA==" saltValue="6RRDMd2hASHvsxKqn4IBOA==" spinCount="100000" sheet="1" objects="1" scenarios="1"/>
  <mergeCells count="4">
    <mergeCell ref="B12:C12"/>
    <mergeCell ref="B4:C4"/>
    <mergeCell ref="B13:C13"/>
    <mergeCell ref="B2:H2"/>
  </mergeCells>
  <pageMargins left="0.7" right="0.7" top="0.75" bottom="0.7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2"/>
  <sheetViews>
    <sheetView showGridLines="0" view="pageBreakPreview" topLeftCell="A4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7.85546875" style="2" customWidth="1"/>
    <col min="5" max="5" width="20.140625" style="2" customWidth="1"/>
    <col min="6" max="6" width="21.7109375" style="2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33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f>'SUMMARY SHEET'!D4</f>
        <v>300</v>
      </c>
      <c r="D3" s="22" t="s">
        <v>10</v>
      </c>
      <c r="E3" s="23" t="str">
        <f>'SUMMARY SHEET'!F4</f>
        <v>WTT-BAN-0001</v>
      </c>
      <c r="F3" s="24">
        <f>'SUMMARY SHEET'!G4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8" t="s">
        <v>7</v>
      </c>
      <c r="C8" s="99" t="s">
        <v>32</v>
      </c>
      <c r="D8" s="99"/>
      <c r="E8" s="99"/>
      <c r="F8" s="29">
        <f>0.27/C6</f>
        <v>2.8125000000000003E-3</v>
      </c>
      <c r="G8" s="100">
        <f>F12+E14+F8</f>
        <v>2.8125000000000003E-3</v>
      </c>
      <c r="H8" s="101"/>
      <c r="I8" s="6"/>
    </row>
    <row r="9" spans="2:14" ht="15" customHeight="1" x14ac:dyDescent="0.25">
      <c r="B9" s="106" t="s">
        <v>11</v>
      </c>
      <c r="C9" s="107"/>
      <c r="D9" s="107"/>
      <c r="E9" s="107"/>
      <c r="F9" s="108"/>
      <c r="G9" s="102"/>
      <c r="H9" s="103"/>
      <c r="I9" s="6"/>
    </row>
    <row r="10" spans="2:14" ht="15" customHeight="1" x14ac:dyDescent="0.25">
      <c r="B10" s="109"/>
      <c r="C10" s="110"/>
      <c r="D10" s="110"/>
      <c r="E10" s="110"/>
      <c r="F10" s="111"/>
      <c r="G10" s="102"/>
      <c r="H10" s="103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02"/>
      <c r="H11" s="103"/>
      <c r="I11" s="6"/>
      <c r="J11" s="12"/>
    </row>
    <row r="12" spans="2:14" ht="28.5" customHeight="1" x14ac:dyDescent="0.25">
      <c r="B12" s="20" t="s">
        <v>36</v>
      </c>
      <c r="C12" s="39">
        <v>0.6</v>
      </c>
      <c r="D12" s="18"/>
      <c r="E12" s="10">
        <f>C12*D12</f>
        <v>0</v>
      </c>
      <c r="F12" s="42">
        <f>SUM(E12:E12)/C3</f>
        <v>0</v>
      </c>
      <c r="G12" s="102"/>
      <c r="H12" s="103"/>
      <c r="I12" s="6"/>
      <c r="K12" s="13"/>
      <c r="L12" s="13"/>
      <c r="M12" s="13"/>
      <c r="N12" s="13"/>
    </row>
    <row r="13" spans="2:14" ht="28.5" customHeight="1" x14ac:dyDescent="0.25">
      <c r="B13" s="7" t="s">
        <v>8</v>
      </c>
      <c r="C13" s="9" t="s">
        <v>24</v>
      </c>
      <c r="D13" s="9" t="s">
        <v>21</v>
      </c>
      <c r="E13" s="112" t="s">
        <v>29</v>
      </c>
      <c r="F13" s="113"/>
      <c r="G13" s="102"/>
      <c r="H13" s="103"/>
      <c r="I13" s="6"/>
    </row>
    <row r="14" spans="2:14" ht="29.25" customHeight="1" x14ac:dyDescent="0.25">
      <c r="B14" s="14" t="s">
        <v>23</v>
      </c>
      <c r="C14" s="39">
        <v>1.72</v>
      </c>
      <c r="D14" s="16"/>
      <c r="E14" s="114">
        <f>C14*D14</f>
        <v>0</v>
      </c>
      <c r="F14" s="115"/>
      <c r="G14" s="104"/>
      <c r="H14" s="105"/>
      <c r="I14" s="6"/>
    </row>
    <row r="15" spans="2:14" ht="17.25" customHeight="1" x14ac:dyDescent="0.25">
      <c r="B15" s="116"/>
      <c r="C15" s="117"/>
      <c r="D15" s="117"/>
      <c r="E15" s="117"/>
      <c r="F15" s="117"/>
      <c r="G15" s="3"/>
      <c r="H15" s="3"/>
      <c r="I15" s="6"/>
    </row>
    <row r="16" spans="2:14" hidden="1" x14ac:dyDescent="0.25">
      <c r="B16" s="15"/>
      <c r="C16" s="3"/>
      <c r="D16" s="3"/>
      <c r="E16" s="3"/>
      <c r="G16" s="3"/>
      <c r="H16" s="3"/>
      <c r="I16" s="6"/>
    </row>
    <row r="17" spans="2:9" ht="28.5" customHeight="1" x14ac:dyDescent="0.25">
      <c r="B17" s="7" t="s">
        <v>9</v>
      </c>
      <c r="C17" s="9" t="s">
        <v>3</v>
      </c>
      <c r="D17" s="3"/>
      <c r="E17" s="3"/>
      <c r="I17" s="6"/>
    </row>
    <row r="18" spans="2:9" ht="28.5" customHeight="1" x14ac:dyDescent="0.25">
      <c r="B18" s="14" t="s">
        <v>4</v>
      </c>
      <c r="C18" s="40">
        <v>47</v>
      </c>
      <c r="D18" s="3"/>
      <c r="E18" s="19"/>
      <c r="G18" s="3"/>
      <c r="H18" s="3"/>
      <c r="I18" s="6"/>
    </row>
    <row r="19" spans="2:9" ht="28.5" customHeight="1" x14ac:dyDescent="0.25">
      <c r="B19" s="14" t="s">
        <v>5</v>
      </c>
      <c r="C19" s="41">
        <v>21.11</v>
      </c>
      <c r="D19" s="3"/>
      <c r="E19" s="3"/>
      <c r="F19" s="3"/>
      <c r="G19" s="3"/>
      <c r="H19" s="3"/>
      <c r="I19" s="6"/>
    </row>
    <row r="20" spans="2:9" ht="21" customHeight="1" thickBot="1" x14ac:dyDescent="0.3"/>
    <row r="21" spans="2:9" ht="57" customHeight="1" x14ac:dyDescent="0.25">
      <c r="B21" s="118" t="s">
        <v>63</v>
      </c>
      <c r="C21" s="119"/>
      <c r="D21" s="119"/>
      <c r="E21" s="119"/>
      <c r="F21" s="119"/>
      <c r="G21" s="119"/>
      <c r="H21" s="119"/>
      <c r="I21" s="120"/>
    </row>
    <row r="22" spans="2:9" ht="22.5" customHeight="1" x14ac:dyDescent="0.25">
      <c r="B22" s="121" t="s">
        <v>6</v>
      </c>
      <c r="C22" s="122"/>
      <c r="D22" s="122"/>
      <c r="E22" s="122"/>
      <c r="F22" s="122"/>
      <c r="G22" s="122"/>
      <c r="H22" s="122"/>
      <c r="I22" s="123"/>
    </row>
    <row r="23" spans="2:9" ht="15" customHeight="1" x14ac:dyDescent="0.25">
      <c r="B23" s="93" t="s">
        <v>27</v>
      </c>
      <c r="C23" s="94"/>
      <c r="D23" s="94"/>
      <c r="E23" s="94"/>
      <c r="F23" s="94"/>
      <c r="G23" s="94"/>
      <c r="H23" s="94"/>
      <c r="I23" s="95"/>
    </row>
    <row r="24" spans="2:9" x14ac:dyDescent="0.25">
      <c r="B24" s="93"/>
      <c r="C24" s="94"/>
      <c r="D24" s="94"/>
      <c r="E24" s="94"/>
      <c r="F24" s="94"/>
      <c r="G24" s="94"/>
      <c r="H24" s="94"/>
      <c r="I24" s="95"/>
    </row>
    <row r="25" spans="2:9" x14ac:dyDescent="0.25">
      <c r="B25" s="93"/>
      <c r="C25" s="94"/>
      <c r="D25" s="94"/>
      <c r="E25" s="94"/>
      <c r="F25" s="94"/>
      <c r="G25" s="94"/>
      <c r="H25" s="94"/>
      <c r="I25" s="95"/>
    </row>
    <row r="26" spans="2:9" ht="8.25" customHeight="1" thickBot="1" x14ac:dyDescent="0.3">
      <c r="B26" s="96"/>
      <c r="C26" s="97"/>
      <c r="D26" s="97"/>
      <c r="E26" s="97"/>
      <c r="F26" s="97"/>
      <c r="G26" s="97"/>
      <c r="H26" s="97"/>
      <c r="I26" s="98"/>
    </row>
    <row r="52" spans="4:4" x14ac:dyDescent="0.25">
      <c r="D52" s="47">
        <f>E14</f>
        <v>0</v>
      </c>
    </row>
  </sheetData>
  <sheetProtection algorithmName="SHA-512" hashValue="rGTjLFKCQgMxOwh/h7PQWPkcsxqvX+qnjDB48GxeIx11EqYC/Ap9nkYe+ClP8XqEHgTnozcJrcrFmu+dOkBhgQ==" saltValue="5ANR2my6+m/5nJiFjbP6bg==" spinCount="100000" sheet="1" selectLockedCells="1"/>
  <protectedRanges>
    <protectedRange sqref="C6:D6 D14 D12" name="Range1"/>
  </protectedRanges>
  <mergeCells count="16">
    <mergeCell ref="B2:I2"/>
    <mergeCell ref="G3:I3"/>
    <mergeCell ref="B5:H5"/>
    <mergeCell ref="C6:D6"/>
    <mergeCell ref="E6:F6"/>
    <mergeCell ref="G6:H7"/>
    <mergeCell ref="C7:F7"/>
    <mergeCell ref="B23:I26"/>
    <mergeCell ref="C8:E8"/>
    <mergeCell ref="G8:H14"/>
    <mergeCell ref="B9:F10"/>
    <mergeCell ref="E13:F13"/>
    <mergeCell ref="E14:F14"/>
    <mergeCell ref="B15:F15"/>
    <mergeCell ref="B21:I21"/>
    <mergeCell ref="B22:I22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5"/>
  <sheetViews>
    <sheetView showGridLines="0" view="pageBreakPreview" topLeftCell="A4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57031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34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f>'PHASE-1'!C3</f>
        <v>300</v>
      </c>
      <c r="D3" s="22" t="s">
        <v>10</v>
      </c>
      <c r="E3" s="23" t="str">
        <f>'PHASE-1'!E3</f>
        <v>WTT-BAN-0001</v>
      </c>
      <c r="F3" s="24">
        <f>'PHASE-1'!F3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8" t="s">
        <v>7</v>
      </c>
      <c r="C8" s="99" t="s">
        <v>37</v>
      </c>
      <c r="D8" s="99"/>
      <c r="E8" s="99"/>
      <c r="F8" s="29">
        <f>2.25/C6</f>
        <v>2.34375E-2</v>
      </c>
      <c r="G8" s="100">
        <f>F12+E15+F8</f>
        <v>2.34375E-2</v>
      </c>
      <c r="H8" s="101"/>
      <c r="I8" s="6"/>
    </row>
    <row r="9" spans="2:14" ht="15" customHeight="1" x14ac:dyDescent="0.25">
      <c r="B9" s="106" t="s">
        <v>11</v>
      </c>
      <c r="C9" s="107"/>
      <c r="D9" s="107"/>
      <c r="E9" s="107"/>
      <c r="F9" s="108"/>
      <c r="G9" s="102"/>
      <c r="H9" s="103"/>
      <c r="I9" s="6"/>
    </row>
    <row r="10" spans="2:14" ht="15" customHeight="1" x14ac:dyDescent="0.25">
      <c r="B10" s="109"/>
      <c r="C10" s="110"/>
      <c r="D10" s="110"/>
      <c r="E10" s="110"/>
      <c r="F10" s="111"/>
      <c r="G10" s="102"/>
      <c r="H10" s="103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02"/>
      <c r="H11" s="103"/>
      <c r="I11" s="6"/>
      <c r="J11" s="12"/>
    </row>
    <row r="12" spans="2:14" ht="28.5" customHeight="1" x14ac:dyDescent="0.25">
      <c r="B12" s="20" t="s">
        <v>22</v>
      </c>
      <c r="C12" s="39">
        <v>2.4700000000000002</v>
      </c>
      <c r="D12" s="18"/>
      <c r="E12" s="10">
        <f>C12*D12</f>
        <v>0</v>
      </c>
      <c r="F12" s="136">
        <f>SUM(E12:E13)/C3</f>
        <v>0</v>
      </c>
      <c r="G12" s="102"/>
      <c r="H12" s="103"/>
      <c r="I12" s="6"/>
      <c r="K12" s="13"/>
      <c r="L12" s="13"/>
      <c r="M12" s="13"/>
      <c r="N12" s="13"/>
    </row>
    <row r="13" spans="2:14" ht="28.5" customHeight="1" x14ac:dyDescent="0.25">
      <c r="B13" s="20" t="s">
        <v>31</v>
      </c>
      <c r="C13" s="39">
        <v>1.52</v>
      </c>
      <c r="D13" s="17"/>
      <c r="E13" s="10">
        <f>C13*D13</f>
        <v>0</v>
      </c>
      <c r="F13" s="137"/>
      <c r="G13" s="102"/>
      <c r="H13" s="103"/>
      <c r="I13" s="6"/>
    </row>
    <row r="14" spans="2:14" ht="28.5" customHeight="1" x14ac:dyDescent="0.25">
      <c r="B14" s="7" t="s">
        <v>8</v>
      </c>
      <c r="C14" s="9" t="s">
        <v>24</v>
      </c>
      <c r="D14" s="9" t="s">
        <v>21</v>
      </c>
      <c r="E14" s="112" t="s">
        <v>29</v>
      </c>
      <c r="F14" s="113"/>
      <c r="G14" s="102"/>
      <c r="H14" s="103"/>
      <c r="I14" s="6"/>
    </row>
    <row r="15" spans="2:14" ht="29.25" customHeight="1" x14ac:dyDescent="0.25">
      <c r="B15" s="14" t="s">
        <v>23</v>
      </c>
      <c r="C15" s="39">
        <v>0.23</v>
      </c>
      <c r="D15" s="16"/>
      <c r="E15" s="138">
        <f>C15*D15</f>
        <v>0</v>
      </c>
      <c r="F15" s="139"/>
      <c r="G15" s="104"/>
      <c r="H15" s="105"/>
      <c r="I15" s="6"/>
    </row>
    <row r="16" spans="2:14" ht="17.25" customHeight="1" x14ac:dyDescent="0.25">
      <c r="B16" s="116"/>
      <c r="C16" s="117"/>
      <c r="D16" s="117"/>
      <c r="E16" s="117"/>
      <c r="F16" s="117"/>
      <c r="G16" s="3"/>
      <c r="H16" s="3"/>
      <c r="I16" s="6"/>
    </row>
    <row r="17" spans="2:14" hidden="1" x14ac:dyDescent="0.25">
      <c r="B17" s="15"/>
      <c r="C17" s="3"/>
      <c r="D17" s="3"/>
      <c r="E17" s="3"/>
      <c r="G17" s="3"/>
      <c r="H17" s="3"/>
      <c r="I17" s="6"/>
    </row>
    <row r="18" spans="2:14" ht="28.5" customHeight="1" x14ac:dyDescent="0.25">
      <c r="B18" s="7" t="s">
        <v>9</v>
      </c>
      <c r="C18" s="9" t="s">
        <v>3</v>
      </c>
      <c r="D18" s="3"/>
      <c r="E18" s="3"/>
      <c r="I18" s="6"/>
    </row>
    <row r="19" spans="2:14" ht="28.5" customHeight="1" x14ac:dyDescent="0.25">
      <c r="B19" s="14" t="s">
        <v>4</v>
      </c>
      <c r="C19" s="40">
        <v>10</v>
      </c>
      <c r="D19" s="3"/>
      <c r="E19" s="19"/>
      <c r="G19" s="3"/>
      <c r="H19" s="3"/>
      <c r="I19" s="6"/>
    </row>
    <row r="20" spans="2:14" ht="28.5" customHeight="1" x14ac:dyDescent="0.25">
      <c r="B20" s="14" t="s">
        <v>5</v>
      </c>
      <c r="C20" s="41">
        <v>6</v>
      </c>
      <c r="D20" s="3"/>
      <c r="E20" s="3"/>
      <c r="F20" s="3"/>
      <c r="G20" s="3"/>
      <c r="H20" s="3"/>
      <c r="I20" s="6"/>
    </row>
    <row r="21" spans="2:14" ht="28.9" customHeight="1" thickBot="1" x14ac:dyDescent="0.3">
      <c r="B21" s="15"/>
      <c r="C21" s="3"/>
      <c r="D21" s="3"/>
      <c r="E21" s="3"/>
      <c r="F21" s="3"/>
      <c r="G21" s="3"/>
      <c r="H21" s="3"/>
      <c r="I21" s="6"/>
    </row>
    <row r="22" spans="2:14" ht="28.9" customHeight="1" thickBot="1" x14ac:dyDescent="0.3">
      <c r="B22" s="30" t="s">
        <v>12</v>
      </c>
      <c r="C22" s="140" t="s">
        <v>13</v>
      </c>
      <c r="D22" s="141"/>
      <c r="E22" s="142"/>
    </row>
    <row r="23" spans="2:14" ht="28.5" customHeight="1" x14ac:dyDescent="0.25">
      <c r="B23" s="31" t="s">
        <v>14</v>
      </c>
      <c r="C23" s="32" t="s">
        <v>2</v>
      </c>
      <c r="D23" s="33" t="s">
        <v>19</v>
      </c>
      <c r="E23" s="33" t="s">
        <v>20</v>
      </c>
      <c r="F23" s="34" t="s">
        <v>30</v>
      </c>
      <c r="I23" s="6"/>
      <c r="J23" s="12"/>
    </row>
    <row r="24" spans="2:14" ht="28.5" customHeight="1" x14ac:dyDescent="0.25">
      <c r="B24" s="20" t="s">
        <v>15</v>
      </c>
      <c r="C24" s="83">
        <v>40</v>
      </c>
      <c r="D24" s="18"/>
      <c r="E24" s="10">
        <f>C24*D24</f>
        <v>0</v>
      </c>
      <c r="F24" s="143">
        <f>SUM(E24:E25)/C3</f>
        <v>0</v>
      </c>
      <c r="I24" s="6"/>
      <c r="K24" s="13"/>
      <c r="L24" s="13"/>
      <c r="M24" s="13"/>
      <c r="N24" s="13"/>
    </row>
    <row r="25" spans="2:14" ht="28.5" customHeight="1" thickBot="1" x14ac:dyDescent="0.3">
      <c r="B25" s="35" t="s">
        <v>25</v>
      </c>
      <c r="C25" s="36">
        <v>24</v>
      </c>
      <c r="D25" s="37"/>
      <c r="E25" s="38">
        <f>C25*D25</f>
        <v>0</v>
      </c>
      <c r="F25" s="144"/>
      <c r="I25" s="6"/>
    </row>
    <row r="26" spans="2:14" ht="21" customHeight="1" thickBot="1" x14ac:dyDescent="0.3"/>
    <row r="27" spans="2:14" ht="64.5" customHeight="1" x14ac:dyDescent="0.25">
      <c r="B27" s="118" t="s">
        <v>63</v>
      </c>
      <c r="C27" s="119"/>
      <c r="D27" s="119"/>
      <c r="E27" s="119"/>
      <c r="F27" s="119"/>
      <c r="G27" s="119"/>
      <c r="H27" s="119"/>
      <c r="I27" s="120"/>
    </row>
    <row r="28" spans="2:14" ht="22.5" customHeight="1" x14ac:dyDescent="0.25">
      <c r="B28" s="121" t="s">
        <v>6</v>
      </c>
      <c r="C28" s="122"/>
      <c r="D28" s="122"/>
      <c r="E28" s="122"/>
      <c r="F28" s="122"/>
      <c r="G28" s="122"/>
      <c r="H28" s="122"/>
      <c r="I28" s="123"/>
    </row>
    <row r="29" spans="2:14" ht="15" customHeight="1" x14ac:dyDescent="0.25">
      <c r="B29" s="93" t="s">
        <v>27</v>
      </c>
      <c r="C29" s="94"/>
      <c r="D29" s="94"/>
      <c r="E29" s="94"/>
      <c r="F29" s="94"/>
      <c r="G29" s="94"/>
      <c r="H29" s="94"/>
      <c r="I29" s="95"/>
    </row>
    <row r="30" spans="2:14" ht="18.75" customHeight="1" x14ac:dyDescent="0.25">
      <c r="B30" s="93"/>
      <c r="C30" s="94"/>
      <c r="D30" s="94"/>
      <c r="E30" s="94"/>
      <c r="F30" s="94"/>
      <c r="G30" s="94"/>
      <c r="H30" s="94"/>
      <c r="I30" s="95"/>
    </row>
    <row r="31" spans="2:14" x14ac:dyDescent="0.25">
      <c r="B31" s="93"/>
      <c r="C31" s="94"/>
      <c r="D31" s="94"/>
      <c r="E31" s="94"/>
      <c r="F31" s="94"/>
      <c r="G31" s="94"/>
      <c r="H31" s="94"/>
      <c r="I31" s="95"/>
    </row>
    <row r="32" spans="2:14" ht="8.25" customHeight="1" thickBot="1" x14ac:dyDescent="0.3">
      <c r="B32" s="96"/>
      <c r="C32" s="97"/>
      <c r="D32" s="97"/>
      <c r="E32" s="97"/>
      <c r="F32" s="97"/>
      <c r="G32" s="97"/>
      <c r="H32" s="97"/>
      <c r="I32" s="98"/>
    </row>
    <row r="61" spans="4:5" x14ac:dyDescent="0.25">
      <c r="D61" s="2" t="s">
        <v>52</v>
      </c>
      <c r="E61" s="47">
        <f>F12</f>
        <v>0</v>
      </c>
    </row>
    <row r="62" spans="4:5" x14ac:dyDescent="0.25">
      <c r="E62" s="47"/>
    </row>
    <row r="63" spans="4:5" x14ac:dyDescent="0.25">
      <c r="D63" s="2" t="s">
        <v>53</v>
      </c>
      <c r="E63" s="47">
        <f>E15</f>
        <v>0</v>
      </c>
    </row>
    <row r="64" spans="4:5" x14ac:dyDescent="0.25">
      <c r="E64" s="47"/>
    </row>
    <row r="65" spans="4:5" x14ac:dyDescent="0.25">
      <c r="D65" s="2" t="s">
        <v>54</v>
      </c>
      <c r="E65" s="47">
        <f>F24</f>
        <v>0</v>
      </c>
    </row>
  </sheetData>
  <sheetProtection algorithmName="SHA-512" hashValue="sYaGlOuw80T8eG+wp4U3vJ6oXqMkh/0YJPlqH7agoxdkGPtpMpW5FMwlogRk5R/9XAisBHw6TJzh1Bw5kJAeaA==" saltValue="YQa3xmZmcxN8ZsjtBaSugw==" spinCount="100000" sheet="1" selectLockedCells="1"/>
  <protectedRanges>
    <protectedRange sqref="C6:D6 D15 D24:D25 D12:D13" name="Range1"/>
  </protectedRanges>
  <mergeCells count="19">
    <mergeCell ref="B2:I2"/>
    <mergeCell ref="G3:I3"/>
    <mergeCell ref="B5:H5"/>
    <mergeCell ref="C6:D6"/>
    <mergeCell ref="E6:F6"/>
    <mergeCell ref="G6:H7"/>
    <mergeCell ref="C7:F7"/>
    <mergeCell ref="B29:I32"/>
    <mergeCell ref="C8:E8"/>
    <mergeCell ref="G8:H15"/>
    <mergeCell ref="B9:F10"/>
    <mergeCell ref="F12:F13"/>
    <mergeCell ref="E14:F14"/>
    <mergeCell ref="E15:F15"/>
    <mergeCell ref="B16:F16"/>
    <mergeCell ref="C22:E22"/>
    <mergeCell ref="F24:F25"/>
    <mergeCell ref="B27:I27"/>
    <mergeCell ref="B28:I28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8"/>
  <sheetViews>
    <sheetView showGridLines="0" tabSelected="1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285156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24" t="s">
        <v>35</v>
      </c>
      <c r="C2" s="125"/>
      <c r="D2" s="125"/>
      <c r="E2" s="125"/>
      <c r="F2" s="125"/>
      <c r="G2" s="125"/>
      <c r="H2" s="125"/>
      <c r="I2" s="126"/>
    </row>
    <row r="3" spans="2:14" ht="21" thickBot="1" x14ac:dyDescent="0.3">
      <c r="B3" s="21" t="s">
        <v>0</v>
      </c>
      <c r="C3" s="22">
        <f>'PHASE-1'!C3</f>
        <v>300</v>
      </c>
      <c r="D3" s="22" t="s">
        <v>10</v>
      </c>
      <c r="E3" s="23" t="str">
        <f>'PHASE-1'!E3</f>
        <v>WTT-BAN-0001</v>
      </c>
      <c r="F3" s="24">
        <f>'PHASE-2(ADD-ON)'!F3</f>
        <v>46023</v>
      </c>
      <c r="G3" s="127" t="s">
        <v>16</v>
      </c>
      <c r="H3" s="127"/>
      <c r="I3" s="128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9" t="s">
        <v>28</v>
      </c>
      <c r="C5" s="130"/>
      <c r="D5" s="130"/>
      <c r="E5" s="130"/>
      <c r="F5" s="130"/>
      <c r="G5" s="130"/>
      <c r="H5" s="131"/>
      <c r="I5" s="5"/>
    </row>
    <row r="6" spans="2:14" ht="26.25" customHeight="1" x14ac:dyDescent="0.25">
      <c r="B6" s="27" t="s">
        <v>17</v>
      </c>
      <c r="C6" s="132">
        <v>96</v>
      </c>
      <c r="D6" s="133"/>
      <c r="E6" s="134" t="s">
        <v>18</v>
      </c>
      <c r="F6" s="134"/>
      <c r="G6" s="134" t="s">
        <v>26</v>
      </c>
      <c r="H6" s="134"/>
      <c r="I6" s="5"/>
    </row>
    <row r="7" spans="2:14" ht="29.25" customHeight="1" x14ac:dyDescent="0.25">
      <c r="B7" s="1" t="s">
        <v>1</v>
      </c>
      <c r="C7" s="112" t="s">
        <v>29</v>
      </c>
      <c r="D7" s="112"/>
      <c r="E7" s="112"/>
      <c r="F7" s="113"/>
      <c r="G7" s="135"/>
      <c r="H7" s="135"/>
      <c r="I7" s="6"/>
    </row>
    <row r="8" spans="2:14" ht="36" customHeight="1" x14ac:dyDescent="0.25">
      <c r="B8" s="28" t="s">
        <v>7</v>
      </c>
      <c r="C8" s="99" t="s">
        <v>38</v>
      </c>
      <c r="D8" s="99"/>
      <c r="E8" s="99"/>
      <c r="F8" s="29">
        <f>2.8/C6</f>
        <v>2.9166666666666664E-2</v>
      </c>
      <c r="G8" s="43"/>
      <c r="H8" s="44"/>
      <c r="I8" s="6"/>
    </row>
    <row r="9" spans="2:14" ht="36" customHeight="1" x14ac:dyDescent="0.25">
      <c r="B9" s="28" t="s">
        <v>43</v>
      </c>
      <c r="C9" s="99" t="s">
        <v>64</v>
      </c>
      <c r="D9" s="99"/>
      <c r="E9" s="99"/>
      <c r="F9" s="29">
        <f>0.96/C6</f>
        <v>0.01</v>
      </c>
      <c r="G9" s="100">
        <f>F8+F13+E19+F9</f>
        <v>3.9166666666666662E-2</v>
      </c>
      <c r="H9" s="101"/>
      <c r="I9" s="6"/>
    </row>
    <row r="10" spans="2:14" ht="15" customHeight="1" x14ac:dyDescent="0.25">
      <c r="B10" s="106" t="s">
        <v>11</v>
      </c>
      <c r="C10" s="107"/>
      <c r="D10" s="107"/>
      <c r="E10" s="107"/>
      <c r="F10" s="108"/>
      <c r="G10" s="102"/>
      <c r="H10" s="103"/>
      <c r="I10" s="6"/>
    </row>
    <row r="11" spans="2:14" ht="15" customHeight="1" x14ac:dyDescent="0.25">
      <c r="B11" s="109"/>
      <c r="C11" s="110"/>
      <c r="D11" s="110"/>
      <c r="E11" s="110"/>
      <c r="F11" s="111"/>
      <c r="G11" s="102"/>
      <c r="H11" s="103"/>
      <c r="I11" s="6"/>
      <c r="K11" s="8"/>
    </row>
    <row r="12" spans="2:14" ht="28.5" customHeight="1" x14ac:dyDescent="0.25">
      <c r="B12" s="7" t="s">
        <v>14</v>
      </c>
      <c r="C12" s="9" t="s">
        <v>2</v>
      </c>
      <c r="D12" s="10" t="s">
        <v>19</v>
      </c>
      <c r="E12" s="10" t="s">
        <v>20</v>
      </c>
      <c r="F12" s="11" t="s">
        <v>30</v>
      </c>
      <c r="G12" s="102"/>
      <c r="H12" s="103"/>
      <c r="I12" s="6"/>
      <c r="J12" s="12"/>
    </row>
    <row r="13" spans="2:14" ht="28.5" customHeight="1" x14ac:dyDescent="0.25">
      <c r="B13" s="20" t="s">
        <v>39</v>
      </c>
      <c r="C13" s="39">
        <v>36</v>
      </c>
      <c r="D13" s="18"/>
      <c r="E13" s="10">
        <f>C13*D13</f>
        <v>0</v>
      </c>
      <c r="F13" s="145">
        <f>SUM(E13:E17)/C3</f>
        <v>0</v>
      </c>
      <c r="G13" s="102"/>
      <c r="H13" s="103"/>
      <c r="I13" s="6"/>
      <c r="K13" s="13"/>
      <c r="L13" s="13"/>
      <c r="M13" s="13"/>
      <c r="N13" s="13"/>
    </row>
    <row r="14" spans="2:14" ht="28.5" customHeight="1" x14ac:dyDescent="0.25">
      <c r="B14" s="20" t="s">
        <v>40</v>
      </c>
      <c r="C14" s="39">
        <v>0.9</v>
      </c>
      <c r="D14" s="17"/>
      <c r="E14" s="10">
        <f>C14*D14</f>
        <v>0</v>
      </c>
      <c r="F14" s="146"/>
      <c r="G14" s="102"/>
      <c r="H14" s="103"/>
      <c r="I14" s="6"/>
    </row>
    <row r="15" spans="2:14" ht="28.5" customHeight="1" x14ac:dyDescent="0.25">
      <c r="B15" s="20" t="s">
        <v>41</v>
      </c>
      <c r="C15" s="39">
        <v>1.5</v>
      </c>
      <c r="D15" s="17"/>
      <c r="E15" s="10">
        <f>C15*D15</f>
        <v>0</v>
      </c>
      <c r="F15" s="146"/>
      <c r="G15" s="102"/>
      <c r="H15" s="103"/>
      <c r="I15" s="6"/>
    </row>
    <row r="16" spans="2:14" ht="28.5" customHeight="1" x14ac:dyDescent="0.25">
      <c r="B16" s="20" t="s">
        <v>42</v>
      </c>
      <c r="C16" s="39">
        <v>1</v>
      </c>
      <c r="D16" s="17"/>
      <c r="E16" s="10">
        <f>C16*D16</f>
        <v>0</v>
      </c>
      <c r="F16" s="146"/>
      <c r="G16" s="102"/>
      <c r="H16" s="103"/>
      <c r="I16" s="6"/>
    </row>
    <row r="17" spans="2:9" ht="28.5" customHeight="1" x14ac:dyDescent="0.25">
      <c r="B17" s="20" t="s">
        <v>31</v>
      </c>
      <c r="C17" s="39">
        <v>1.5</v>
      </c>
      <c r="D17" s="17"/>
      <c r="E17" s="10">
        <f>C17*D17</f>
        <v>0</v>
      </c>
      <c r="F17" s="147"/>
      <c r="G17" s="102"/>
      <c r="H17" s="103"/>
      <c r="I17" s="6"/>
    </row>
    <row r="18" spans="2:9" ht="28.5" customHeight="1" x14ac:dyDescent="0.25">
      <c r="B18" s="7" t="s">
        <v>8</v>
      </c>
      <c r="C18" s="9" t="s">
        <v>24</v>
      </c>
      <c r="D18" s="9" t="s">
        <v>21</v>
      </c>
      <c r="E18" s="112" t="s">
        <v>29</v>
      </c>
      <c r="F18" s="113"/>
      <c r="G18" s="102"/>
      <c r="H18" s="103"/>
      <c r="I18" s="6"/>
    </row>
    <row r="19" spans="2:9" ht="29.25" customHeight="1" x14ac:dyDescent="0.25">
      <c r="B19" s="14" t="s">
        <v>23</v>
      </c>
      <c r="C19" s="39">
        <v>1.1000000000000001</v>
      </c>
      <c r="D19" s="16"/>
      <c r="E19" s="114">
        <f>C19*D19</f>
        <v>0</v>
      </c>
      <c r="F19" s="115"/>
      <c r="G19" s="104"/>
      <c r="H19" s="105"/>
      <c r="I19" s="6"/>
    </row>
    <row r="20" spans="2:9" ht="17.25" customHeight="1" x14ac:dyDescent="0.25">
      <c r="B20" s="116"/>
      <c r="C20" s="117"/>
      <c r="D20" s="117"/>
      <c r="E20" s="117"/>
      <c r="F20" s="117"/>
      <c r="G20" s="3"/>
      <c r="H20" s="3"/>
      <c r="I20" s="6"/>
    </row>
    <row r="21" spans="2:9" hidden="1" x14ac:dyDescent="0.25">
      <c r="B21" s="15"/>
      <c r="C21" s="3"/>
      <c r="D21" s="3"/>
      <c r="E21" s="3"/>
      <c r="G21" s="3"/>
      <c r="H21" s="3"/>
      <c r="I21" s="6"/>
    </row>
    <row r="22" spans="2:9" ht="28.5" customHeight="1" x14ac:dyDescent="0.25">
      <c r="B22" s="7" t="s">
        <v>9</v>
      </c>
      <c r="C22" s="9" t="s">
        <v>3</v>
      </c>
      <c r="D22" s="3"/>
      <c r="E22" s="3"/>
      <c r="I22" s="6"/>
    </row>
    <row r="23" spans="2:9" ht="28.5" customHeight="1" x14ac:dyDescent="0.25">
      <c r="B23" s="14" t="s">
        <v>4</v>
      </c>
      <c r="C23" s="40">
        <v>29</v>
      </c>
      <c r="D23" s="3"/>
      <c r="E23" s="19"/>
      <c r="G23" s="3"/>
      <c r="H23" s="3"/>
      <c r="I23" s="6"/>
    </row>
    <row r="24" spans="2:9" ht="28.5" customHeight="1" x14ac:dyDescent="0.25">
      <c r="B24" s="14" t="s">
        <v>5</v>
      </c>
      <c r="C24" s="41">
        <v>22</v>
      </c>
      <c r="D24" s="3"/>
      <c r="E24" s="3"/>
      <c r="F24" s="3"/>
      <c r="G24" s="3"/>
      <c r="H24" s="3"/>
      <c r="I24" s="6"/>
    </row>
    <row r="25" spans="2:9" ht="28.9" customHeight="1" thickBot="1" x14ac:dyDescent="0.3">
      <c r="B25" s="15"/>
      <c r="C25" s="3"/>
      <c r="D25" s="3"/>
      <c r="E25" s="3"/>
      <c r="F25" s="3"/>
      <c r="G25" s="3"/>
      <c r="H25" s="3"/>
      <c r="I25" s="6"/>
    </row>
    <row r="26" spans="2:9" ht="64.5" customHeight="1" x14ac:dyDescent="0.25">
      <c r="B26" s="118" t="s">
        <v>63</v>
      </c>
      <c r="C26" s="119"/>
      <c r="D26" s="119"/>
      <c r="E26" s="119"/>
      <c r="F26" s="119"/>
      <c r="G26" s="119"/>
      <c r="H26" s="119"/>
      <c r="I26" s="120"/>
    </row>
    <row r="27" spans="2:9" ht="22.5" customHeight="1" x14ac:dyDescent="0.25">
      <c r="B27" s="121" t="s">
        <v>6</v>
      </c>
      <c r="C27" s="122"/>
      <c r="D27" s="122"/>
      <c r="E27" s="122"/>
      <c r="F27" s="122"/>
      <c r="G27" s="122"/>
      <c r="H27" s="122"/>
      <c r="I27" s="123"/>
    </row>
    <row r="28" spans="2:9" ht="15" customHeight="1" x14ac:dyDescent="0.25">
      <c r="B28" s="93" t="s">
        <v>27</v>
      </c>
      <c r="C28" s="94"/>
      <c r="D28" s="94"/>
      <c r="E28" s="94"/>
      <c r="F28" s="94"/>
      <c r="G28" s="94"/>
      <c r="H28" s="94"/>
      <c r="I28" s="95"/>
    </row>
    <row r="29" spans="2:9" ht="18.75" customHeight="1" x14ac:dyDescent="0.25">
      <c r="B29" s="93"/>
      <c r="C29" s="94"/>
      <c r="D29" s="94"/>
      <c r="E29" s="94"/>
      <c r="F29" s="94"/>
      <c r="G29" s="94"/>
      <c r="H29" s="94"/>
      <c r="I29" s="95"/>
    </row>
    <row r="30" spans="2:9" x14ac:dyDescent="0.25">
      <c r="B30" s="93"/>
      <c r="C30" s="94"/>
      <c r="D30" s="94"/>
      <c r="E30" s="94"/>
      <c r="F30" s="94"/>
      <c r="G30" s="94"/>
      <c r="H30" s="94"/>
      <c r="I30" s="95"/>
    </row>
    <row r="31" spans="2:9" ht="8.25" customHeight="1" thickBot="1" x14ac:dyDescent="0.3">
      <c r="B31" s="96"/>
      <c r="C31" s="97"/>
      <c r="D31" s="97"/>
      <c r="E31" s="97"/>
      <c r="F31" s="97"/>
      <c r="G31" s="97"/>
      <c r="H31" s="97"/>
      <c r="I31" s="98"/>
    </row>
    <row r="56" spans="4:5" x14ac:dyDescent="0.25">
      <c r="D56" s="2" t="s">
        <v>52</v>
      </c>
      <c r="E56" s="48">
        <f>F13</f>
        <v>0</v>
      </c>
    </row>
    <row r="58" spans="4:5" x14ac:dyDescent="0.25">
      <c r="D58" s="2" t="s">
        <v>53</v>
      </c>
      <c r="E58" s="47">
        <f>E19</f>
        <v>0</v>
      </c>
    </row>
  </sheetData>
  <sheetProtection algorithmName="SHA-512" hashValue="MXEQE9V12G7gnM64p62xslcCADohY9FUa0QmdF7j4yeleX1q9HdxAb4sIeXtnwknQJdZc1LNbY9kuyzrmN8W2Q==" saltValue="3rs9+jHR5qWLpb3v6h+Rtg==" spinCount="100000" sheet="1" selectLockedCells="1"/>
  <protectedRanges>
    <protectedRange sqref="C6:D6 D19 D13:D17" name="Range1"/>
  </protectedRanges>
  <mergeCells count="18">
    <mergeCell ref="B2:I2"/>
    <mergeCell ref="G3:I3"/>
    <mergeCell ref="B5:H5"/>
    <mergeCell ref="C6:D6"/>
    <mergeCell ref="E6:F6"/>
    <mergeCell ref="G6:H7"/>
    <mergeCell ref="C7:F7"/>
    <mergeCell ref="C8:E8"/>
    <mergeCell ref="B28:I31"/>
    <mergeCell ref="C9:E9"/>
    <mergeCell ref="G9:H19"/>
    <mergeCell ref="B10:F11"/>
    <mergeCell ref="F13:F17"/>
    <mergeCell ref="E18:F18"/>
    <mergeCell ref="E19:F19"/>
    <mergeCell ref="B20:F20"/>
    <mergeCell ref="B26:I26"/>
    <mergeCell ref="B27:I27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 SHEET</vt:lpstr>
      <vt:lpstr>PHASE-1</vt:lpstr>
      <vt:lpstr>PHASE-2(ADD-ON)</vt:lpstr>
      <vt:lpstr>PHASE-3(ADD-ON)</vt:lpstr>
      <vt:lpstr>'PHASE-1'!Print_Area</vt:lpstr>
      <vt:lpstr>'PHASE-2(ADD-ON)'!Print_Area</vt:lpstr>
      <vt:lpstr>'PHASE-3(ADD-ON)'!Print_Area</vt:lpstr>
      <vt:lpstr>'SUMMARY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dcterms:created xsi:type="dcterms:W3CDTF">2023-09-01T06:17:56Z</dcterms:created>
  <dcterms:modified xsi:type="dcterms:W3CDTF">2026-05-14T11:11:36Z</dcterms:modified>
</cp:coreProperties>
</file>